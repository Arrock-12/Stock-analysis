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roc\OneDrive\Desktop\DA Classwork\Green Stocks\"/>
    </mc:Choice>
  </mc:AlternateContent>
  <xr:revisionPtr revIDLastSave="0" documentId="13_ncr:1_{CE487550-61EC-4F21-BBBF-47DCBB19D85C}" xr6:coauthVersionLast="47" xr6:coauthVersionMax="47" xr10:uidLastSave="{00000000-0000-0000-0000-000000000000}"/>
  <bookViews>
    <workbookView xWindow="-108" yWindow="-108" windowWidth="23256" windowHeight="12576" firstSheet="1" activeTab="4" xr2:uid="{00000000-000D-0000-FFFF-FFFF00000000}"/>
  </bookViews>
  <sheets>
    <sheet name="Practice" sheetId="5" r:id="rId1"/>
    <sheet name="2017" sheetId="1" r:id="rId2"/>
    <sheet name="2018" sheetId="2" r:id="rId3"/>
    <sheet name="DQ Analysis" sheetId="3" r:id="rId4"/>
    <sheet name="All Stocks Analysis" sheetId="4" r:id="rId5"/>
    <sheet name="Run Times" sheetId="6" r:id="rId6"/>
  </sheet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" i="6" l="1"/>
  <c r="C25" i="6"/>
  <c r="C26" i="6"/>
  <c r="C27" i="6"/>
  <c r="C28" i="6"/>
  <c r="C29" i="6"/>
  <c r="C30" i="6"/>
  <c r="C31" i="6"/>
  <c r="C32" i="6"/>
  <c r="C33" i="6"/>
  <c r="C34" i="6"/>
  <c r="G24" i="6"/>
  <c r="G25" i="6"/>
  <c r="G26" i="6"/>
  <c r="G27" i="6"/>
  <c r="G28" i="6"/>
  <c r="G29" i="6"/>
  <c r="G30" i="6"/>
  <c r="G31" i="6"/>
  <c r="G32" i="6"/>
  <c r="G33" i="6"/>
  <c r="G34" i="6"/>
  <c r="E20" i="6"/>
  <c r="F20" i="6"/>
  <c r="G20" i="6"/>
  <c r="H20" i="6"/>
  <c r="E17" i="6"/>
  <c r="F17" i="6"/>
  <c r="G17" i="6"/>
  <c r="H17" i="6"/>
  <c r="A20" i="6"/>
  <c r="B20" i="6"/>
  <c r="C20" i="6"/>
  <c r="D20" i="6"/>
  <c r="A17" i="6"/>
  <c r="B17" i="6"/>
  <c r="C17" i="6"/>
  <c r="D17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G3" i="6"/>
  <c r="H3" i="6"/>
  <c r="C3" i="6"/>
  <c r="D3" i="6"/>
</calcChain>
</file>

<file path=xl/sharedStrings.xml><?xml version="1.0" encoding="utf-8"?>
<sst xmlns="http://schemas.openxmlformats.org/spreadsheetml/2006/main" count="12118" uniqueCount="537">
  <si>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</si>
  <si>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</si>
  <si>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</si>
  <si>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</si>
  <si>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</si>
  <si>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</si>
  <si>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</si>
  <si>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</si>
  <si>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</si>
  <si>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</si>
  <si>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</si>
  <si>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</si>
  <si>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</si>
  <si>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</si>
  <si>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</si>
  <si>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</si>
  <si>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</si>
  <si>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</si>
  <si>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</si>
  <si>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</si>
  <si>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</si>
  <si>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</si>
  <si>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</si>
  <si>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</si>
  <si>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</si>
  <si>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</si>
  <si>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</si>
  <si>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</si>
  <si>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</si>
  <si>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</si>
  <si>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</si>
  <si>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</si>
  <si>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</si>
  <si>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</si>
  <si>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</si>
  <si>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</si>
  <si>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</si>
  <si>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</si>
  <si>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</si>
  <si>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</si>
  <si>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</si>
  <si>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</si>
  <si>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</si>
  <si>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</si>
  <si>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</si>
  <si>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</si>
  <si>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</si>
  <si>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</si>
  <si>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</si>
  <si>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</si>
  <si>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</si>
  <si>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</si>
  <si>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</si>
  <si>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</si>
  <si>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</si>
  <si>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</si>
  <si>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</si>
  <si>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</si>
  <si>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</si>
  <si>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</si>
  <si>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</si>
  <si>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</si>
  <si>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</si>
  <si>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</si>
  <si>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</si>
  <si>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</si>
  <si>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</si>
  <si>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</si>
  <si>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</si>
  <si>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</si>
  <si>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</si>
  <si>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</si>
  <si>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</si>
  <si>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</si>
  <si>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</si>
  <si>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</si>
  <si>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</si>
  <si>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</si>
  <si>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</si>
  <si>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</si>
  <si>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</si>
  <si>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</si>
  <si>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</si>
  <si>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</si>
  <si>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</si>
  <si>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</si>
  <si>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</si>
  <si>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</si>
  <si>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</si>
  <si>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</si>
  <si>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</si>
  <si>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</si>
  <si>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</si>
  <si>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</si>
  <si>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</si>
  <si>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</si>
  <si>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</si>
  <si>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</si>
  <si>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</si>
  <si>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</si>
  <si>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</si>
  <si>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</si>
  <si>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</si>
  <si>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</si>
  <si>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</si>
  <si>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</si>
  <si>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</si>
  <si>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</si>
  <si>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</si>
  <si>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</si>
  <si>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</si>
  <si>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</si>
  <si>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</si>
  <si>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</si>
  <si>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</si>
  <si>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</si>
  <si>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</si>
  <si>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</si>
  <si>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</si>
  <si>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</si>
  <si>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</si>
  <si>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</si>
  <si>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</si>
  <si>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</si>
  <si>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</si>
  <si>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</si>
  <si>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</si>
  <si>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</si>
  <si>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</si>
  <si>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</si>
  <si>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</si>
  <si>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</si>
  <si>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</si>
  <si>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</si>
  <si>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</si>
  <si>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</si>
  <si>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</si>
  <si>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</si>
  <si>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</si>
  <si>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</si>
  <si>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</si>
  <si>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</si>
  <si>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</si>
  <si>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</si>
  <si>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</si>
  <si>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</si>
  <si>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</si>
  <si>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</si>
  <si>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</si>
  <si>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</si>
  <si>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</si>
  <si>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</si>
  <si>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</si>
  <si>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</si>
  <si>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</si>
  <si>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</si>
  <si>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</si>
  <si>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</si>
  <si>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</si>
  <si>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</si>
  <si>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</si>
  <si>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</si>
  <si>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</si>
  <si>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</si>
  <si>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</si>
  <si>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</si>
  <si>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</si>
  <si>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</si>
  <si>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</si>
  <si>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</si>
  <si>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</si>
  <si>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</si>
  <si>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</si>
  <si>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</si>
  <si>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</si>
  <si>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</si>
  <si>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</si>
  <si>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</si>
  <si>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</si>
  <si>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</si>
  <si>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</si>
  <si>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</si>
  <si>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</si>
  <si>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</si>
  <si>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</si>
  <si>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</si>
  <si>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</si>
  <si>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</si>
  <si>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</si>
  <si>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</si>
  <si>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</si>
  <si>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</si>
  <si>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</si>
  <si>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</si>
  <si>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</si>
  <si>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</si>
  <si>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</si>
  <si>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</si>
  <si>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</si>
  <si>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</si>
  <si>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</si>
  <si>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</si>
  <si>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</si>
  <si>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</si>
  <si>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</si>
  <si>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</si>
  <si>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</si>
  <si>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</si>
  <si>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</si>
  <si>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</si>
  <si>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</si>
  <si>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</si>
  <si>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</si>
  <si>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</si>
  <si>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</si>
  <si>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</si>
  <si>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</si>
  <si>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</si>
  <si>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</si>
  <si>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</si>
  <si>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</si>
  <si>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</si>
  <si>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</si>
  <si>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</si>
  <si>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</si>
  <si>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</si>
  <si>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</si>
  <si>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</si>
  <si>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</si>
  <si>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</si>
  <si>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</si>
  <si>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</si>
  <si>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</si>
  <si>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</si>
  <si>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</si>
  <si>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</si>
  <si>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</si>
  <si>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</si>
  <si>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</si>
  <si>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</si>
  <si>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</si>
  <si>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</si>
  <si>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</si>
  <si>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</si>
  <si>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</si>
  <si>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</si>
  <si>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</si>
  <si>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</si>
  <si>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</si>
  <si>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</si>
  <si>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</si>
  <si>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</si>
  <si>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</si>
  <si>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</si>
  <si>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</si>
  <si>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</si>
  <si>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</si>
  <si>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</si>
  <si>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</si>
  <si>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</si>
  <si>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</si>
  <si>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</si>
  <si>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</si>
  <si>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</si>
  <si>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</si>
  <si>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</si>
  <si>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</si>
  <si>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</si>
  <si>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</si>
  <si>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</si>
  <si>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</si>
  <si>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</si>
  <si>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</si>
  <si>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</si>
  <si>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</si>
  <si>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</si>
  <si>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</si>
  <si>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</si>
  <si>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</si>
  <si>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</si>
  <si>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</si>
  <si>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</si>
  <si>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</si>
  <si>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</si>
  <si>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</si>
  <si>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</si>
  <si>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</si>
  <si>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</si>
  <si>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</si>
  <si>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</si>
  <si>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</si>
  <si>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</si>
  <si>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</si>
  <si>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</si>
  <si>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</si>
  <si>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</si>
  <si>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</si>
  <si>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</si>
  <si>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</si>
  <si>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</si>
  <si>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</si>
  <si>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</si>
  <si>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</si>
  <si>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</si>
  <si>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</si>
  <si>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</si>
  <si>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</si>
  <si>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</si>
  <si>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</si>
  <si>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</si>
  <si>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</si>
  <si>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</si>
  <si>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</si>
  <si>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</si>
  <si>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</si>
  <si>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</si>
  <si>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</si>
  <si>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</si>
  <si>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</si>
  <si>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</si>
  <si>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</si>
  <si>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</si>
  <si>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</si>
  <si>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</si>
  <si>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</si>
  <si>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</si>
  <si>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</si>
  <si>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</si>
  <si>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</si>
  <si>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</si>
  <si>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</si>
  <si>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</si>
  <si>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</si>
  <si>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</si>
  <si>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</si>
  <si>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</si>
  <si>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</si>
  <si>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</si>
  <si>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</si>
  <si>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</si>
  <si>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</si>
  <si>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</si>
  <si>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</si>
  <si>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</si>
  <si>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</si>
  <si>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</si>
  <si>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</si>
  <si>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</si>
  <si>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</si>
  <si>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</si>
  <si>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</si>
  <si>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</si>
  <si>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</si>
  <si>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</si>
  <si>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</si>
  <si>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</si>
  <si>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</si>
  <si>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</si>
  <si>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</si>
  <si>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</si>
  <si>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</si>
  <si>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</si>
  <si>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</si>
  <si>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</si>
  <si>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</si>
  <si>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</si>
  <si>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</si>
  <si>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</si>
  <si>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</si>
  <si>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</si>
  <si>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</si>
  <si>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</si>
  <si>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</si>
  <si>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</si>
  <si>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</si>
  <si>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</si>
  <si>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</si>
  <si>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</si>
  <si>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</si>
  <si>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</si>
  <si>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</si>
  <si>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</si>
  <si>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</si>
  <si>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</si>
  <si>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</si>
  <si>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</si>
  <si>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</si>
  <si>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</si>
  <si>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</si>
  <si>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</si>
  <si>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</si>
  <si>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</si>
  <si>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</si>
  <si>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</si>
  <si>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</si>
  <si>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</si>
  <si>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</si>
  <si>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</si>
  <si>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</si>
  <si>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</si>
  <si>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</si>
  <si>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</si>
  <si>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</si>
  <si>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</si>
  <si>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</si>
  <si>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</si>
  <si>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</si>
  <si>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</si>
  <si>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</si>
  <si>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</si>
  <si>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</si>
  <si>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</si>
  <si>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</si>
  <si>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</si>
  <si>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</si>
  <si>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</si>
  <si>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</si>
  <si>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</si>
  <si>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</si>
  <si>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</si>
  <si>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</si>
  <si>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</si>
  <si>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</si>
  <si>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</si>
  <si>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</si>
  <si>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</si>
  <si>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</si>
  <si>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</si>
  <si>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</si>
  <si>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</si>
  <si>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</si>
  <si>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</si>
  <si>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</si>
  <si>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</si>
  <si>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</si>
  <si>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</si>
  <si>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</si>
  <si>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</si>
  <si>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</si>
  <si>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</si>
  <si>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</si>
  <si>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</si>
  <si>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</si>
  <si>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</si>
  <si>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</si>
  <si>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</si>
  <si>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</si>
  <si>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</si>
  <si>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</si>
  <si>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</si>
  <si>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</si>
  <si>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</si>
  <si>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</si>
  <si>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</si>
  <si>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</si>
  <si>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</si>
  <si>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</si>
  <si>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</si>
  <si>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</si>
  <si>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</si>
  <si>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</si>
  <si>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</si>
  <si>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</si>
  <si>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</si>
  <si>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</si>
  <si>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</si>
  <si>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</si>
  <si>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</si>
  <si>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</si>
  <si>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</si>
  <si>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</si>
  <si>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</si>
  <si>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</si>
  <si>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</si>
  <si>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</si>
  <si>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</si>
  <si>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</si>
  <si>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</si>
  <si>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</si>
  <si>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</si>
  <si>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</si>
  <si>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</si>
  <si>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</si>
  <si>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</si>
  <si>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</si>
  <si>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</si>
  <si>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</si>
  <si>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</si>
  <si>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</si>
  <si>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</si>
  <si>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</si>
  <si>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</si>
  <si>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</si>
  <si>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</si>
  <si>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</si>
  <si>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</si>
  <si>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</si>
  <si>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</si>
  <si>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</si>
  <si>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</si>
  <si>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</si>
  <si>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</si>
  <si>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</si>
  <si>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</si>
  <si>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</si>
  <si>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</si>
  <si>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</si>
  <si>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</si>
  <si>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</si>
  <si>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</si>
  <si>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</si>
  <si>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</si>
  <si>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</si>
  <si>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</si>
  <si>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</si>
  <si>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</si>
  <si>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</si>
  <si>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</si>
  <si>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</si>
  <si>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</si>
  <si>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</si>
  <si>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</si>
  <si>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</si>
  <si>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</si>
  <si>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</si>
  <si>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</si>
  <si>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</si>
  <si>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Refactored</t>
  </si>
  <si>
    <t>Original</t>
  </si>
  <si>
    <t>Difference</t>
  </si>
  <si>
    <t>% Change</t>
  </si>
  <si>
    <t>Mean</t>
  </si>
  <si>
    <t>Median</t>
  </si>
  <si>
    <t>2017 Times</t>
  </si>
  <si>
    <t>2018 Times</t>
  </si>
  <si>
    <t>Avererage difference</t>
  </si>
  <si>
    <t>Average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</si>
</sst>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3" fontId="0" fillId="0" borderId="0" xfId="0" applyNumberFormat="1"/>
    <xf numFmtId="165" fontId="0" fillId="2" borderId="0" xfId="0" applyNumberFormat="1" applyFill="1"/>
    <xf numFmtId="0" fontId="1" fillId="0" borderId="2" xfId="0" applyFont="1" applyBorder="1"/>
    <xf numFmtId="165" fontId="0" fillId="3" borderId="0" xfId="0" applyNumberFormat="1" applyFill="1"/>
    <xf numFmtId="0" fontId="1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0" xfId="0" applyFont="1" applyBorder="1"/>
    <xf numFmtId="0" fontId="1" fillId="0" borderId="7" xfId="0" applyFont="1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3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3918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0</xdr:row>
          <xdr:rowOff>38100</xdr:rowOff>
        </xdr:from>
        <xdr:to>
          <xdr:col>12</xdr:col>
          <xdr:colOff>342900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Checkerboard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3</xdr:row>
          <xdr:rowOff>160020</xdr:rowOff>
        </xdr:from>
        <xdr:to>
          <xdr:col>11</xdr:col>
          <xdr:colOff>548640</xdr:colOff>
          <xdr:row>5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Practice Loops Add 1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121920</xdr:rowOff>
        </xdr:from>
        <xdr:to>
          <xdr:col>12</xdr:col>
          <xdr:colOff>175260</xdr:colOff>
          <xdr:row>8</xdr:row>
          <xdr:rowOff>167640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Practice Loops 1s all around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17</xdr:row>
          <xdr:rowOff>106680</xdr:rowOff>
        </xdr:from>
        <xdr:to>
          <xdr:col>4</xdr:col>
          <xdr:colOff>220980</xdr:colOff>
          <xdr:row>20</xdr:row>
          <xdr:rowOff>60960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3</xdr:row>
          <xdr:rowOff>152400</xdr:rowOff>
        </xdr:from>
        <xdr:to>
          <xdr:col>6</xdr:col>
          <xdr:colOff>7620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144780</xdr:rowOff>
        </xdr:from>
        <xdr:to>
          <xdr:col>6</xdr:col>
          <xdr:colOff>0</xdr:colOff>
          <xdr:row>2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1</xdr:row>
          <xdr:rowOff>38100</xdr:rowOff>
        </xdr:from>
        <xdr:to>
          <xdr:col>6</xdr:col>
          <xdr:colOff>236220</xdr:colOff>
          <xdr:row>3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4</xdr:row>
          <xdr:rowOff>152400</xdr:rowOff>
        </xdr:from>
        <xdr:to>
          <xdr:col>8</xdr:col>
          <xdr:colOff>0</xdr:colOff>
          <xdr:row>7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Stocks by Year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4</xdr:row>
          <xdr:rowOff>160020</xdr:rowOff>
        </xdr:from>
        <xdr:to>
          <xdr:col>12</xdr:col>
          <xdr:colOff>15240</xdr:colOff>
          <xdr:row>7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Stocks by Year Original with 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EDA49-8F2E-4285-94A1-0AB891847333}">
  <sheetPr codeName="Sheet5"/>
  <dimension ref="A1"/>
  <sheetViews>
    <sheetView workbookViewId="0">
      <selection activeCell="K15" sqref="K15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eckerboardPractice">
                <anchor moveWithCells="1">
                  <from>
                    <xdr:col>10</xdr:col>
                    <xdr:colOff>15240</xdr:colOff>
                    <xdr:row>0</xdr:row>
                    <xdr:rowOff>38100</xdr:rowOff>
                  </from>
                  <to>
                    <xdr:col>12</xdr:col>
                    <xdr:colOff>342900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racticeLoops">
                <anchor moveWithCells="1">
                  <from>
                    <xdr:col>10</xdr:col>
                    <xdr:colOff>7620</xdr:colOff>
                    <xdr:row>3</xdr:row>
                    <xdr:rowOff>160020</xdr:rowOff>
                  </from>
                  <to>
                    <xdr:col>11</xdr:col>
                    <xdr:colOff>548640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PracticeLoops2">
                <anchor moveWithCells="1">
                  <from>
                    <xdr:col>10</xdr:col>
                    <xdr:colOff>15240</xdr:colOff>
                    <xdr:row>6</xdr:row>
                    <xdr:rowOff>121920</xdr:rowOff>
                  </from>
                  <to>
                    <xdr:col>12</xdr:col>
                    <xdr:colOff>175260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learWorksheet">
                <anchor moveWithCells="1">
                  <from>
                    <xdr:col>2</xdr:col>
                    <xdr:colOff>106680</xdr:colOff>
                    <xdr:row>17</xdr:row>
                    <xdr:rowOff>106680</xdr:rowOff>
                  </from>
                  <to>
                    <xdr:col>4</xdr:col>
                    <xdr:colOff>220980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30" workbookViewId="0">
      <selection activeCell="T6" sqref="T6"/>
    </sheetView>
  </sheetViews>
  <sheetFormatPr defaultColWidth="8.77734375" defaultRowHeight="14.4" x14ac:dyDescent="0.3"/>
  <cols>
    <col min="7" max="7" width="8.77734375" style="3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3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3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3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3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3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3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3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3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3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3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3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3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3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3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3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3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3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3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3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3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3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3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3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3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3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3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3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3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3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3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3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3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3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3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3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3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3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3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3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3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3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3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3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3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3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3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3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3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3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3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3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3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3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3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3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3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3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3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3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3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3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3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3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3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3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3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3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3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3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3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3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3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3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3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3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3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3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3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3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3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3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3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3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3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3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3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3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3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3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3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3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3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3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3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3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3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3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3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3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3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3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3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3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3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3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3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3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3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3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3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3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3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3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3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3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3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3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3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3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3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3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3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3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3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3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3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3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3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3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3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3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3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3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3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3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3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3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3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3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3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3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3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3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3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3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3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3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3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3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3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3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3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3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3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3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3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3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3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3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3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3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3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3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3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3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3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3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3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3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3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3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3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3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3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3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3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3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3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3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3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3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3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3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3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3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3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3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3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3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3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3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3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3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3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3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3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3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3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3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3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3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3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3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3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3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3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3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3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3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3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3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3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3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3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3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3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3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3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3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3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3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3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3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3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3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3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3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3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3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3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3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3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3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3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3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3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3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3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3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3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3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3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3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3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3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3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3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3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3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3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3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3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3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3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3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3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3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3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3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3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3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3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3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3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3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3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3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3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3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3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3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3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3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3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3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3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3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3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3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3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3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3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3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3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3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3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3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3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3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3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3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3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3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3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3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3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3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3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3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3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3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 s="3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3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3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3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3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3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3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3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3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3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3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3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3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3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3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3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3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3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3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3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3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3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3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3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3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3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3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3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3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3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3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3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3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3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3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3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3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3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3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3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3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3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3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3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3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3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3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3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3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3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3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3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3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3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3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3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3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3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3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3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3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3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3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3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3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3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3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3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3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3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3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3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3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3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3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3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3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3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3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3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3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3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3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3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3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3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3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3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3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3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3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3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3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3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3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3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3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3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3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3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3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3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3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3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3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3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3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3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3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3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3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3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3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3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3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3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3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3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3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3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3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3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3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3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3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3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3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3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3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3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3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3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3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3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3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3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3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3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3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3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3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3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3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3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3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3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3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3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3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3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3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3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3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3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3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3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3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3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3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3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3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3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3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3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3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3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3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3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3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3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3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3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3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3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3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3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3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3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3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3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3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3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3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3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3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3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3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3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3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3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3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3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3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3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3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3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3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3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3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3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3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3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3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3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3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3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3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3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3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3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3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3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3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3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3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3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3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3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3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3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3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3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3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3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3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3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3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3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3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3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3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3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3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3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3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3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3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3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3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3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3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3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3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3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3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3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3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3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3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3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3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3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3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3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3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3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3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3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3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3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3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3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3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3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3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3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3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3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3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3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3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3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3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3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3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3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3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3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3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3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3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3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3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3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3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3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3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3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3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3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3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3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3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3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3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3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3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3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3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3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3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3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3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3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3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3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3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3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3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3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3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3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3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3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3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3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3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3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3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3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3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3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3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3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3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3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3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3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3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3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3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3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3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3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3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3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3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3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3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3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3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3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3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3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3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3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3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3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3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3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3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3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3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3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3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3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3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3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3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3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3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3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3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3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3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3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3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3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3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3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3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3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3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3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3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3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3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3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3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3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3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3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3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3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3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3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3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3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3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3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3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3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3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3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3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3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3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3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3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3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3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3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3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3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3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3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3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3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3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3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3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3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3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3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3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3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3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3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3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3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3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3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3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3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3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3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3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3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3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3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3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3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3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3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3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3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3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3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3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3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3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3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3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3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3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3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3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3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3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3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3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3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3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3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3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3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3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3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3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3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3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3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3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3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3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3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3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3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3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3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3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3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3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3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3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3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3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3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3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3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3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3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3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3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3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3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3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3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3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3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3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3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3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3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3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3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3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3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3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3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3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3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3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3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3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3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3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3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3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3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3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3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3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3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3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3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3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3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3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3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3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3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3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3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3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3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3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3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3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3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3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3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3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3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3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3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3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3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3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3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3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3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3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3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3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3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3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3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3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3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3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3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3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3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3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3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3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3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3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3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3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3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3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3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3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3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3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3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3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3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3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3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3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3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3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3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3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3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3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3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3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3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3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3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3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3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3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3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3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3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3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3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3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3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3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3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3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3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3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3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3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3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3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3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3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3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3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3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3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3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3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3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3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3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3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3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3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3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3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3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3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3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3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3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3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3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3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3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3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3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3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3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3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3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3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3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3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3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3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3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3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3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3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3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3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3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3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3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3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3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3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3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3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3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3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3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3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3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3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3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3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3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3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3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3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3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3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3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3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3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3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3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3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3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3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3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3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3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3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3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3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3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3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3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3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3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3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3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3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3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3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3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3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3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3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3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3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3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3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3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3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3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3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3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3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3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3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3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3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3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3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3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3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3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3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3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3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3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3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3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3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3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3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3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3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3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3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3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3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3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3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3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3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3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3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3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3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3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3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3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3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3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3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3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3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3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3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3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3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3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3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3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3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3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3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3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3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3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3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3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3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3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3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3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3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3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3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3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3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3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3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3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3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3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3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3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3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3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3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3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3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3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3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3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3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3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3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3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3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3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3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3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3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3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3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3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3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3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3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3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3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3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3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3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3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3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3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3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3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3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3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3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3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3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3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3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3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3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3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3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3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3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3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3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3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3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3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3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3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3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3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3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3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3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3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3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3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3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3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3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3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3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3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3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3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3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3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3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3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3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3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3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3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3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3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3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3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3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3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3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3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3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3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3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3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3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3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3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3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3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3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3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3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3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3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3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3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3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3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3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3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3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3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3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3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3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3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3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3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3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3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3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3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3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3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3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3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3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3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3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3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3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3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3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3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3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3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3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3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3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3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3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3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3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3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3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3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3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3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3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3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3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3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3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3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3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3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3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3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3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3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3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3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3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3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3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3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3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3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3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3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3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3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3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3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3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3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3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3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3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3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3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3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3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3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3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3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3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3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3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3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3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3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3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3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3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3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3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3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3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3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3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3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3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3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3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3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3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3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3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3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3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3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3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3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3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3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3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3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3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3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3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3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3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3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3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3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3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3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3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3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3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3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3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3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3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3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3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3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3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3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3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3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3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3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3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3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3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3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3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3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3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3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3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3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3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3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3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3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3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3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3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3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3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3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3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3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3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3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3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3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3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3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3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3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3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3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3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3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3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3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3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3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3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3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3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3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3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3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3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3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3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3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3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3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3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3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3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3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3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3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3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3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3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3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3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3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3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3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3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3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3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3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3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3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3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3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3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3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3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3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3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3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3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3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3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3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3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3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3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3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3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3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3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3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3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3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3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3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3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3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3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3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3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3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3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3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3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3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3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3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3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3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3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3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3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3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3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3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3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3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3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3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3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3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3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3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3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3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3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3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3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3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3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3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3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3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3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3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3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3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3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3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3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3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3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3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3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3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3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3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3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3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3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3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3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3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3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3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3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3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3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3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3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3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3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3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3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3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3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3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3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3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3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3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3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3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3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3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3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3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3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3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3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3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3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3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3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3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3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3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3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3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3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3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3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3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3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3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3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3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3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3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3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3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3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3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3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3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3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3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3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3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3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3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3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3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3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3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3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3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3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3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3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3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3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3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3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3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3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3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3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3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3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3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3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3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3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3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3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3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3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3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3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3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3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3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3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3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3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3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3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3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3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3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3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3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3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3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3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3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3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3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3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3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3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3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3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3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3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3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3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3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3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3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3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3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3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3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3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3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3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3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3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3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3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3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3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3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3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3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3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3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3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3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3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3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3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3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3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3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3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3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3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3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3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3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3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3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3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3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3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3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3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3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3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3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3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3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3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3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3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3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3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3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3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3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3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3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3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3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3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3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3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3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3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3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3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3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3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3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3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3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3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3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3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3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3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3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3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3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3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3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3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3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3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3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3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3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3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3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3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3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3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3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3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3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3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3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3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3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3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3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3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3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3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3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3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3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3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3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3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3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3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3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3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3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3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3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3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3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3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3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3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3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3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3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3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3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3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3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3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3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3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3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3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3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3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3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3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3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3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3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3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3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3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3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3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3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3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3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3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3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3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3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3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3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3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3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3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3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3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3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3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3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3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3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3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3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3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3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3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3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3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3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3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3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3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3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3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3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3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3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3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3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3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3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3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3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3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3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3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3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3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3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3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3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3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3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3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3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3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3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3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3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3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3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3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3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3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3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3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3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3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3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3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3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3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3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3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3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3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3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3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3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3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3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3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3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3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3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3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3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3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3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3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3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3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3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3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3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3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3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3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3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3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3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3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3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3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3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3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3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3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3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3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3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3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3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3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3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3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3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3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3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3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3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3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3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3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3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3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3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3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3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3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3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3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3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3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3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3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3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3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3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3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3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3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3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3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3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3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3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3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3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3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3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3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3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3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3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3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3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3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3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3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3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3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3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3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3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3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3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3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3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3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3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3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3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3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3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3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3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3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3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3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3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3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3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3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3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3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3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3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3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3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3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3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3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3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3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3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3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3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3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3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3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3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3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3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3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3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3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3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3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3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3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3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3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3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3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3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3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3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3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3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3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3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3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3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3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3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3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3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3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3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3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3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3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3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3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3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3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3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3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3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3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3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3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3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3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3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3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3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3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3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3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3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3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3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3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3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3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3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3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3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3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3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3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3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3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3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3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3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3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3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3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3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3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3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3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3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3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3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3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3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3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3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3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3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3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3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3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3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3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3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3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3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3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3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3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3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3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3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3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3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3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3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3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3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3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3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3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3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3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3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3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3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3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3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3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3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3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3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3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3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3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3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3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3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3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3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3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3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3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3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3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3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3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3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3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3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3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3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3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3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3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3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3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3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3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3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3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3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3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3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3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3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3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3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3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3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3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3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3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3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3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3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3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3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3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3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3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3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3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3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3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3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3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3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3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3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3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3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3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3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3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3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3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3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3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3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3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3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3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3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3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3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3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3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3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3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3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3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3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3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3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3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3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3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3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3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3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3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3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3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3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3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3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3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3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3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3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3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3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3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3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3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3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3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3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3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3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3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3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3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3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3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3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3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3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3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3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3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3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3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3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3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3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3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3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3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3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3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3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3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3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3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3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3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3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3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3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3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3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3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3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3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3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3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3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3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3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3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3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3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3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3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3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3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3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3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3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3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3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3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3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3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3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3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3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3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3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3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3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3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3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3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3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3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3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3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3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3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3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3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3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3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3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3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3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3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3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3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3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3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3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3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3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3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3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3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3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3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3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3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3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3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3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3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3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3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3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3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3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3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3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3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3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3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3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3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3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3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3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3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3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3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3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3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3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3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3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3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3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3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3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3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3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3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3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3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3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3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3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3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3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3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3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3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3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3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3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3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3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3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3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3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3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3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3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3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3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3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3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3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3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3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3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3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3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3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3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3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3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3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3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3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3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3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3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3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3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3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3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3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3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3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3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3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3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3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3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3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3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3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3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3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3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3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3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3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3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3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3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3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3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3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3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3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3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3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3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3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3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3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3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3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3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3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3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3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3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3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3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3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3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3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3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3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3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3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3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3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3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3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3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3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3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3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3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3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3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3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3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3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3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3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3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3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3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3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3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3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3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3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3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3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3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3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3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3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3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3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3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3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3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3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3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3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3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3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3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3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3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3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3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3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3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3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3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3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3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3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3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3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3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3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3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3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3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3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3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3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3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3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3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3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3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3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3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3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3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3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3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3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3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3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3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3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3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3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3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3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3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3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3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3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3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3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3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3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3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3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3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3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3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3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3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3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3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3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3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3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3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3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3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3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3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3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3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3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3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3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3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3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3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3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3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3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3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3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3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3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3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3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3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3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3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3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3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3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3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3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3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3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3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3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3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3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3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3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3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3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3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3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3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3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3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3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3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3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3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3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3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3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3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3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3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3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3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3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3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3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3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3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3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3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3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3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3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3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3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3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3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3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3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3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3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3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3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3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3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3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3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3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3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3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3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3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3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3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3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3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3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3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3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3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3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3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3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3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3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3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3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3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3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3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3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3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3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3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3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3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3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3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3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3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3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3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3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3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3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3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3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3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3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3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3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3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3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3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3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3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3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3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3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3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3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3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3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3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3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3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3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3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3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3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3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3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3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3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3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3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3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3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3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3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3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3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3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3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3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3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3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3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3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3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3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3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3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3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3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3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3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3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3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3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3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3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3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3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3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3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3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3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3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3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3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3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3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3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3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3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3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3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3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3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3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3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3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3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3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3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3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3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3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3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3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3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3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3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3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3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3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3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3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3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3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3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3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3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3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3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3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3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3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3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3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3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3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3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3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3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3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3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3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3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3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461D-5F01-4918-8663-AEF4DF6ECB26}">
  <sheetPr codeName="Sheet3"/>
  <dimension ref="A1:C4"/>
  <sheetViews>
    <sheetView workbookViewId="0">
      <selection activeCell="T29" sqref="T29"/>
    </sheetView>
  </sheetViews>
  <sheetFormatPr defaultRowHeight="14.4" x14ac:dyDescent="0.3"/>
  <cols>
    <col min="1" max="1" width="10" customWidth="1"/>
    <col min="2" max="2" width="16.44140625" bestFit="1" customWidth="1"/>
    <col min="3" max="3" width="12.66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QAnalysis">
                <anchor moveWithCells="1">
                  <from>
                    <xdr:col>3</xdr:col>
                    <xdr:colOff>594360</xdr:colOff>
                    <xdr:row>3</xdr:row>
                    <xdr:rowOff>152400</xdr:rowOff>
                  </from>
                  <to>
                    <xdr:col>6</xdr:col>
                    <xdr:colOff>7620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0</xdr:row>
                    <xdr:rowOff>144780</xdr:rowOff>
                  </from>
                  <to>
                    <xdr:col>6</xdr:col>
                    <xdr:colOff>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794B-F0D5-4B57-9D58-E43321C1745D}">
  <sheetPr codeName="Sheet4"/>
  <dimension ref="A1:C15"/>
  <sheetViews>
    <sheetView tabSelected="1" workbookViewId="0">
      <selection activeCell="M11" sqref="M11"/>
    </sheetView>
  </sheetViews>
  <sheetFormatPr defaultRowHeight="14.4" x14ac:dyDescent="0.3"/>
  <cols>
    <col min="2" max="2" width="16.88671875" bestFit="1" customWidth="1"/>
    <col min="3" max="3" width="7.6640625" bestFit="1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4">
        <v>136070900</v>
      </c>
      <c r="C4" s="7">
        <v>8.9368253946304321E-2</v>
      </c>
    </row>
    <row r="5" spans="1:3" x14ac:dyDescent="0.3">
      <c r="A5" t="s">
        <v>9</v>
      </c>
      <c r="B5" s="4">
        <v>310592800</v>
      </c>
      <c r="C5" s="7">
        <v>0.33070248365402222</v>
      </c>
    </row>
    <row r="6" spans="1:3" x14ac:dyDescent="0.3">
      <c r="A6" t="s">
        <v>10</v>
      </c>
      <c r="B6" s="4">
        <v>35796200</v>
      </c>
      <c r="C6" s="7">
        <v>1.9944583177566528</v>
      </c>
    </row>
    <row r="7" spans="1:3" x14ac:dyDescent="0.3">
      <c r="A7" t="s">
        <v>11</v>
      </c>
      <c r="B7" s="4">
        <v>221772100</v>
      </c>
      <c r="C7" s="7">
        <v>1.2952382564544678</v>
      </c>
    </row>
    <row r="8" spans="1:3" x14ac:dyDescent="0.3">
      <c r="A8" t="s">
        <v>12</v>
      </c>
      <c r="B8" s="4">
        <v>684181400</v>
      </c>
      <c r="C8" s="7">
        <v>1.0131185054779053</v>
      </c>
    </row>
    <row r="9" spans="1:3" x14ac:dyDescent="0.3">
      <c r="A9" t="s">
        <v>13</v>
      </c>
      <c r="B9" s="4">
        <v>80949300</v>
      </c>
      <c r="C9" s="7">
        <v>0.2583681046962738</v>
      </c>
    </row>
    <row r="10" spans="1:3" x14ac:dyDescent="0.3">
      <c r="A10" t="s">
        <v>14</v>
      </c>
      <c r="B10" s="4">
        <v>191632200</v>
      </c>
      <c r="C10" s="7">
        <v>0.53870755434036255</v>
      </c>
    </row>
    <row r="11" spans="1:3" x14ac:dyDescent="0.3">
      <c r="A11" t="s">
        <v>15</v>
      </c>
      <c r="B11" s="4">
        <v>267681300</v>
      </c>
      <c r="C11" s="7">
        <v>5.5456161499023438E-2</v>
      </c>
    </row>
    <row r="12" spans="1:3" x14ac:dyDescent="0.3">
      <c r="A12" t="s">
        <v>16</v>
      </c>
      <c r="B12" s="4">
        <v>206885200</v>
      </c>
      <c r="C12" s="7">
        <v>1.8446969985961914</v>
      </c>
    </row>
    <row r="13" spans="1:3" x14ac:dyDescent="0.3">
      <c r="A13" t="s">
        <v>17</v>
      </c>
      <c r="B13" s="4">
        <v>782187000</v>
      </c>
      <c r="C13" s="7">
        <v>0.23065699636936188</v>
      </c>
    </row>
    <row r="14" spans="1:3" x14ac:dyDescent="0.3">
      <c r="A14" t="s">
        <v>18</v>
      </c>
      <c r="B14" s="4">
        <v>139402800</v>
      </c>
      <c r="C14" s="5">
        <v>-7.2148971259593964E-2</v>
      </c>
    </row>
    <row r="15" spans="1:3" x14ac:dyDescent="0.3">
      <c r="A15" t="s">
        <v>19</v>
      </c>
      <c r="B15" s="4">
        <v>109487900</v>
      </c>
      <c r="C15" s="7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>
                  <from>
                    <xdr:col>3</xdr:col>
                    <xdr:colOff>601980</xdr:colOff>
                    <xdr:row>1</xdr:row>
                    <xdr:rowOff>38100</xdr:rowOff>
                  </from>
                  <to>
                    <xdr:col>6</xdr:col>
                    <xdr:colOff>236220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llStocksAnalysisRefactored">
                <anchor moveWithCells="1">
                  <from>
                    <xdr:col>3</xdr:col>
                    <xdr:colOff>601980</xdr:colOff>
                    <xdr:row>4</xdr:row>
                    <xdr:rowOff>152400</xdr:rowOff>
                  </from>
                  <to>
                    <xdr:col>8</xdr:col>
                    <xdr:colOff>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yearValueAnalysis">
                <anchor moveWithCells="1">
                  <from>
                    <xdr:col>9</xdr:col>
                    <xdr:colOff>7620</xdr:colOff>
                    <xdr:row>4</xdr:row>
                    <xdr:rowOff>160020</xdr:rowOff>
                  </from>
                  <to>
                    <xdr:col>12</xdr:col>
                    <xdr:colOff>15240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B73B2-6982-411E-A40C-9754EB152D71}">
  <sheetPr codeName="Sheet6"/>
  <dimension ref="A1:H34"/>
  <sheetViews>
    <sheetView topLeftCell="A7" workbookViewId="0">
      <selection activeCell="E22" sqref="E22:G34"/>
    </sheetView>
  </sheetViews>
  <sheetFormatPr defaultRowHeight="14.4" x14ac:dyDescent="0.3"/>
  <cols>
    <col min="1" max="1" width="10.88671875" customWidth="1"/>
    <col min="2" max="2" width="11.5546875" customWidth="1"/>
    <col min="3" max="3" width="10.88671875" customWidth="1"/>
    <col min="4" max="4" width="10.21875" customWidth="1"/>
    <col min="5" max="5" width="11.33203125" customWidth="1"/>
    <col min="6" max="7" width="11" customWidth="1"/>
    <col min="8" max="8" width="10.77734375" customWidth="1"/>
  </cols>
  <sheetData>
    <row r="1" spans="1:8" s="8" customFormat="1" x14ac:dyDescent="0.3">
      <c r="A1" s="9">
        <v>2017</v>
      </c>
      <c r="B1" s="10"/>
      <c r="C1" s="10"/>
      <c r="D1" s="11"/>
      <c r="E1" s="10">
        <v>2018</v>
      </c>
      <c r="F1" s="10"/>
      <c r="G1" s="10"/>
      <c r="H1" s="11"/>
    </row>
    <row r="2" spans="1:8" s="8" customFormat="1" ht="15" thickBot="1" x14ac:dyDescent="0.35">
      <c r="A2" s="21" t="s">
        <v>528</v>
      </c>
      <c r="B2" s="22" t="s">
        <v>527</v>
      </c>
      <c r="C2" s="22" t="s">
        <v>529</v>
      </c>
      <c r="D2" s="23" t="s">
        <v>530</v>
      </c>
      <c r="E2" s="22" t="s">
        <v>528</v>
      </c>
      <c r="F2" s="22" t="s">
        <v>527</v>
      </c>
      <c r="G2" s="22" t="s">
        <v>529</v>
      </c>
      <c r="H2" s="23" t="s">
        <v>530</v>
      </c>
    </row>
    <row r="3" spans="1:8" x14ac:dyDescent="0.3">
      <c r="A3" s="15">
        <v>0.8125</v>
      </c>
      <c r="B3" s="16">
        <v>0.109375</v>
      </c>
      <c r="C3" s="16">
        <f>A3-B3</f>
        <v>0.703125</v>
      </c>
      <c r="D3" s="17">
        <f>C3/A3*100</f>
        <v>86.538461538461547</v>
      </c>
      <c r="E3" s="16">
        <v>0.76561999999999997</v>
      </c>
      <c r="F3" s="16">
        <v>0.109375</v>
      </c>
      <c r="G3" s="16">
        <f>E3-F3</f>
        <v>0.65624499999999997</v>
      </c>
      <c r="H3" s="17">
        <f>G3/E3*100</f>
        <v>85.714192419215792</v>
      </c>
    </row>
    <row r="4" spans="1:8" x14ac:dyDescent="0.3">
      <c r="A4" s="15">
        <v>0.84375</v>
      </c>
      <c r="B4" s="16">
        <v>0.10935499999999999</v>
      </c>
      <c r="C4" s="16">
        <f t="shared" ref="C4:C12" si="0">A4-B4</f>
        <v>0.73439500000000002</v>
      </c>
      <c r="D4" s="17">
        <f t="shared" ref="D4:D12" si="1">C4/A4*100</f>
        <v>87.03940740740741</v>
      </c>
      <c r="E4" s="16">
        <v>0.796875</v>
      </c>
      <c r="F4" s="16">
        <v>0.1171875</v>
      </c>
      <c r="G4" s="16">
        <f t="shared" ref="G4:G12" si="2">E4-F4</f>
        <v>0.6796875</v>
      </c>
      <c r="H4" s="17">
        <f t="shared" ref="H4:H12" si="3">G4/E4*100</f>
        <v>85.294117647058826</v>
      </c>
    </row>
    <row r="5" spans="1:8" x14ac:dyDescent="0.3">
      <c r="A5" s="15">
        <v>0.78125</v>
      </c>
      <c r="B5" s="16">
        <v>0.1015625</v>
      </c>
      <c r="C5" s="16">
        <f t="shared" si="0"/>
        <v>0.6796875</v>
      </c>
      <c r="D5" s="17">
        <f t="shared" si="1"/>
        <v>87</v>
      </c>
      <c r="E5" s="16">
        <v>0.78125</v>
      </c>
      <c r="F5" s="16">
        <v>0.1171875</v>
      </c>
      <c r="G5" s="16">
        <f t="shared" si="2"/>
        <v>0.6640625</v>
      </c>
      <c r="H5" s="17">
        <f t="shared" si="3"/>
        <v>85</v>
      </c>
    </row>
    <row r="6" spans="1:8" x14ac:dyDescent="0.3">
      <c r="A6" s="15">
        <v>0.890625</v>
      </c>
      <c r="B6" s="16">
        <v>0.109375</v>
      </c>
      <c r="C6" s="16">
        <f t="shared" si="0"/>
        <v>0.78125</v>
      </c>
      <c r="D6" s="17">
        <f t="shared" si="1"/>
        <v>87.719298245614027</v>
      </c>
      <c r="E6" s="16">
        <v>0.8046875</v>
      </c>
      <c r="F6" s="16">
        <v>0.109375</v>
      </c>
      <c r="G6" s="16">
        <f t="shared" si="2"/>
        <v>0.6953125</v>
      </c>
      <c r="H6" s="17">
        <f t="shared" si="3"/>
        <v>86.40776699029125</v>
      </c>
    </row>
    <row r="7" spans="1:8" x14ac:dyDescent="0.3">
      <c r="A7" s="15">
        <v>0.859375</v>
      </c>
      <c r="B7" s="16">
        <v>0.109375</v>
      </c>
      <c r="C7" s="16">
        <f t="shared" si="0"/>
        <v>0.75</v>
      </c>
      <c r="D7" s="17">
        <f t="shared" si="1"/>
        <v>87.272727272727266</v>
      </c>
      <c r="E7" s="16">
        <v>0.828125</v>
      </c>
      <c r="F7" s="16">
        <v>0.1171875</v>
      </c>
      <c r="G7" s="16">
        <f t="shared" si="2"/>
        <v>0.7109375</v>
      </c>
      <c r="H7" s="17">
        <f t="shared" si="3"/>
        <v>85.84905660377359</v>
      </c>
    </row>
    <row r="8" spans="1:8" x14ac:dyDescent="0.3">
      <c r="A8" s="15">
        <v>0.828125</v>
      </c>
      <c r="B8" s="16">
        <v>0.109375</v>
      </c>
      <c r="C8" s="16">
        <f t="shared" si="0"/>
        <v>0.71875</v>
      </c>
      <c r="D8" s="17">
        <f t="shared" si="1"/>
        <v>86.79245283018868</v>
      </c>
      <c r="E8" s="16">
        <v>0.875</v>
      </c>
      <c r="F8" s="16">
        <v>0.109375</v>
      </c>
      <c r="G8" s="16">
        <f t="shared" si="2"/>
        <v>0.765625</v>
      </c>
      <c r="H8" s="17">
        <f t="shared" si="3"/>
        <v>87.5</v>
      </c>
    </row>
    <row r="9" spans="1:8" x14ac:dyDescent="0.3">
      <c r="A9" s="15">
        <v>0.8203125</v>
      </c>
      <c r="B9" s="16">
        <v>0.109375</v>
      </c>
      <c r="C9" s="16">
        <f t="shared" si="0"/>
        <v>0.7109375</v>
      </c>
      <c r="D9" s="17">
        <f t="shared" si="1"/>
        <v>86.666666666666671</v>
      </c>
      <c r="E9" s="16">
        <v>0.8203125</v>
      </c>
      <c r="F9" s="16">
        <v>0.109375</v>
      </c>
      <c r="G9" s="16">
        <f t="shared" si="2"/>
        <v>0.7109375</v>
      </c>
      <c r="H9" s="17">
        <f t="shared" si="3"/>
        <v>86.666666666666671</v>
      </c>
    </row>
    <row r="10" spans="1:8" x14ac:dyDescent="0.3">
      <c r="A10" s="15">
        <v>0.828125</v>
      </c>
      <c r="B10" s="16">
        <v>0.1171875</v>
      </c>
      <c r="C10" s="16">
        <f t="shared" si="0"/>
        <v>0.7109375</v>
      </c>
      <c r="D10" s="17">
        <f t="shared" si="1"/>
        <v>85.84905660377359</v>
      </c>
      <c r="E10" s="16">
        <v>0.78906399999999999</v>
      </c>
      <c r="F10" s="16">
        <v>0.109375</v>
      </c>
      <c r="G10" s="16">
        <f t="shared" si="2"/>
        <v>0.67968899999999999</v>
      </c>
      <c r="H10" s="17">
        <f t="shared" si="3"/>
        <v>86.138640211693854</v>
      </c>
    </row>
    <row r="11" spans="1:8" x14ac:dyDescent="0.3">
      <c r="A11" s="15">
        <v>0.7890625</v>
      </c>
      <c r="B11" s="16">
        <v>0.109375</v>
      </c>
      <c r="C11" s="16">
        <f t="shared" si="0"/>
        <v>0.6796875</v>
      </c>
      <c r="D11" s="17">
        <f t="shared" si="1"/>
        <v>86.138613861386133</v>
      </c>
      <c r="E11" s="16">
        <v>0.8125</v>
      </c>
      <c r="F11" s="16">
        <v>0.1015625</v>
      </c>
      <c r="G11" s="16">
        <f t="shared" si="2"/>
        <v>0.7109375</v>
      </c>
      <c r="H11" s="17">
        <f t="shared" si="3"/>
        <v>87.5</v>
      </c>
    </row>
    <row r="12" spans="1:8" ht="15" thickBot="1" x14ac:dyDescent="0.35">
      <c r="A12" s="18">
        <v>0.8125</v>
      </c>
      <c r="B12" s="19">
        <v>9.375E-2</v>
      </c>
      <c r="C12" s="19">
        <f t="shared" si="0"/>
        <v>0.71875</v>
      </c>
      <c r="D12" s="20">
        <f t="shared" si="1"/>
        <v>88.461538461538453</v>
      </c>
      <c r="E12" s="19">
        <v>0.828125</v>
      </c>
      <c r="F12" s="19">
        <v>0.1015625</v>
      </c>
      <c r="G12" s="19">
        <f t="shared" si="2"/>
        <v>0.7265625</v>
      </c>
      <c r="H12" s="20">
        <f t="shared" si="3"/>
        <v>87.735849056603783</v>
      </c>
    </row>
    <row r="13" spans="1:8" ht="15" thickBot="1" x14ac:dyDescent="0.35">
      <c r="A13" s="15"/>
      <c r="B13" s="16"/>
      <c r="C13" s="16"/>
      <c r="D13" s="17"/>
      <c r="E13" s="16"/>
      <c r="F13" s="16"/>
      <c r="G13" s="16"/>
      <c r="H13" s="17"/>
    </row>
    <row r="14" spans="1:8" x14ac:dyDescent="0.3">
      <c r="A14" s="9">
        <v>2017</v>
      </c>
      <c r="B14" s="10"/>
      <c r="C14" s="10"/>
      <c r="D14" s="11"/>
      <c r="E14" s="10">
        <v>2018</v>
      </c>
      <c r="F14" s="10"/>
      <c r="G14" s="10"/>
      <c r="H14" s="11"/>
    </row>
    <row r="15" spans="1:8" ht="15" thickBot="1" x14ac:dyDescent="0.35">
      <c r="A15" s="21" t="s">
        <v>528</v>
      </c>
      <c r="B15" s="22" t="s">
        <v>527</v>
      </c>
      <c r="C15" s="22" t="s">
        <v>529</v>
      </c>
      <c r="D15" s="23" t="s">
        <v>530</v>
      </c>
      <c r="E15" s="22" t="s">
        <v>528</v>
      </c>
      <c r="F15" s="22" t="s">
        <v>527</v>
      </c>
      <c r="G15" s="22" t="s">
        <v>529</v>
      </c>
      <c r="H15" s="23" t="s">
        <v>530</v>
      </c>
    </row>
    <row r="16" spans="1:8" x14ac:dyDescent="0.3">
      <c r="A16" s="24" t="s">
        <v>531</v>
      </c>
      <c r="B16" s="25" t="s">
        <v>531</v>
      </c>
      <c r="C16" s="25"/>
      <c r="D16" s="25"/>
      <c r="E16" s="24" t="s">
        <v>531</v>
      </c>
      <c r="F16" s="25" t="s">
        <v>531</v>
      </c>
      <c r="G16" s="25"/>
      <c r="H16" s="26"/>
    </row>
    <row r="17" spans="1:8" x14ac:dyDescent="0.3">
      <c r="A17" s="15">
        <f>AVERAGE(A3:A12)</f>
        <v>0.82656249999999998</v>
      </c>
      <c r="B17" s="16">
        <f>AVERAGE(B3:B12)</f>
        <v>0.10781049999999999</v>
      </c>
      <c r="C17" s="16">
        <f>A17-B17</f>
        <v>0.71875199999999995</v>
      </c>
      <c r="D17" s="16">
        <f>C17/A17*100</f>
        <v>86.956763705103967</v>
      </c>
      <c r="E17" s="15">
        <f>AVERAGE(E3:E12)</f>
        <v>0.81015590000000004</v>
      </c>
      <c r="F17" s="16">
        <f>AVERAGE(F3:F12)</f>
        <v>0.11015625</v>
      </c>
      <c r="G17" s="16">
        <f>E17-F17</f>
        <v>0.69999965000000008</v>
      </c>
      <c r="H17" s="17">
        <f>G17/E17</f>
        <v>0.86403079950414485</v>
      </c>
    </row>
    <row r="18" spans="1:8" x14ac:dyDescent="0.3">
      <c r="A18" s="15"/>
      <c r="B18" s="16"/>
      <c r="C18" s="16"/>
      <c r="D18" s="16"/>
      <c r="E18" s="15"/>
      <c r="F18" s="16"/>
      <c r="G18" s="16"/>
      <c r="H18" s="17"/>
    </row>
    <row r="19" spans="1:8" x14ac:dyDescent="0.3">
      <c r="A19" s="15" t="s">
        <v>532</v>
      </c>
      <c r="B19" s="16" t="s">
        <v>532</v>
      </c>
      <c r="C19" s="16"/>
      <c r="D19" s="16"/>
      <c r="E19" s="15" t="s">
        <v>532</v>
      </c>
      <c r="F19" s="16" t="s">
        <v>532</v>
      </c>
      <c r="G19" s="16"/>
      <c r="H19" s="17"/>
    </row>
    <row r="20" spans="1:8" ht="15" thickBot="1" x14ac:dyDescent="0.35">
      <c r="A20" s="18">
        <f>MEDIAN(A3:A12)</f>
        <v>0.82421875</v>
      </c>
      <c r="B20" s="19">
        <f>MEDIAN(B3:B12)</f>
        <v>0.109375</v>
      </c>
      <c r="C20" s="19">
        <f>A20-B20</f>
        <v>0.71484375</v>
      </c>
      <c r="D20" s="19">
        <f>C20/A20*100</f>
        <v>86.729857819905206</v>
      </c>
      <c r="E20" s="18">
        <f>MEDIAN(E3:E12)</f>
        <v>0.80859375</v>
      </c>
      <c r="F20" s="19">
        <f>MEDIAN(F3:F12)</f>
        <v>0.109375</v>
      </c>
      <c r="G20" s="19">
        <f>E20-F20</f>
        <v>0.69921875</v>
      </c>
      <c r="H20" s="20">
        <f>G20/E20</f>
        <v>0.86473429951690817</v>
      </c>
    </row>
    <row r="21" spans="1:8" ht="15" thickBot="1" x14ac:dyDescent="0.35"/>
    <row r="22" spans="1:8" x14ac:dyDescent="0.3">
      <c r="A22" s="9" t="s">
        <v>527</v>
      </c>
      <c r="B22" s="10"/>
      <c r="C22" s="11"/>
      <c r="E22" s="9" t="s">
        <v>528</v>
      </c>
      <c r="F22" s="10"/>
      <c r="G22" s="11"/>
    </row>
    <row r="23" spans="1:8" x14ac:dyDescent="0.3">
      <c r="A23" s="12" t="s">
        <v>533</v>
      </c>
      <c r="B23" s="13" t="s">
        <v>534</v>
      </c>
      <c r="C23" s="14" t="s">
        <v>529</v>
      </c>
      <c r="E23" s="12" t="s">
        <v>533</v>
      </c>
      <c r="F23" s="13" t="s">
        <v>534</v>
      </c>
      <c r="G23" s="14" t="s">
        <v>529</v>
      </c>
    </row>
    <row r="24" spans="1:8" x14ac:dyDescent="0.3">
      <c r="A24" s="15">
        <v>0.109375</v>
      </c>
      <c r="B24" s="16">
        <v>0.109375</v>
      </c>
      <c r="C24" s="17">
        <f>A24-B24</f>
        <v>0</v>
      </c>
      <c r="E24" s="15">
        <v>0.8125</v>
      </c>
      <c r="F24" s="16">
        <v>0.76561999999999997</v>
      </c>
      <c r="G24" s="17">
        <f>E24-F24</f>
        <v>4.6880000000000033E-2</v>
      </c>
    </row>
    <row r="25" spans="1:8" x14ac:dyDescent="0.3">
      <c r="A25" s="15">
        <v>0.10935499999999999</v>
      </c>
      <c r="B25" s="16">
        <v>0.1171875</v>
      </c>
      <c r="C25" s="17">
        <f t="shared" ref="C25:C33" si="4">A25-B25</f>
        <v>-7.8325000000000061E-3</v>
      </c>
      <c r="E25" s="15">
        <v>0.84375</v>
      </c>
      <c r="F25" s="16">
        <v>0.796875</v>
      </c>
      <c r="G25" s="17">
        <f t="shared" ref="G25:G33" si="5">E25-F25</f>
        <v>4.6875E-2</v>
      </c>
    </row>
    <row r="26" spans="1:8" x14ac:dyDescent="0.3">
      <c r="A26" s="15">
        <v>0.1015625</v>
      </c>
      <c r="B26" s="16">
        <v>0.1171875</v>
      </c>
      <c r="C26" s="17">
        <f t="shared" si="4"/>
        <v>-1.5625E-2</v>
      </c>
      <c r="E26" s="15">
        <v>0.78125</v>
      </c>
      <c r="F26" s="16">
        <v>0.78125</v>
      </c>
      <c r="G26" s="17">
        <f t="shared" si="5"/>
        <v>0</v>
      </c>
    </row>
    <row r="27" spans="1:8" x14ac:dyDescent="0.3">
      <c r="A27" s="15">
        <v>0.109375</v>
      </c>
      <c r="B27" s="16">
        <v>0.109375</v>
      </c>
      <c r="C27" s="17">
        <f t="shared" si="4"/>
        <v>0</v>
      </c>
      <c r="E27" s="15">
        <v>0.890625</v>
      </c>
      <c r="F27" s="16">
        <v>0.8046875</v>
      </c>
      <c r="G27" s="17">
        <f t="shared" si="5"/>
        <v>8.59375E-2</v>
      </c>
    </row>
    <row r="28" spans="1:8" x14ac:dyDescent="0.3">
      <c r="A28" s="15">
        <v>0.109375</v>
      </c>
      <c r="B28" s="16">
        <v>0.1171875</v>
      </c>
      <c r="C28" s="17">
        <f t="shared" si="4"/>
        <v>-7.8125E-3</v>
      </c>
      <c r="E28" s="15">
        <v>0.859375</v>
      </c>
      <c r="F28" s="16">
        <v>0.828125</v>
      </c>
      <c r="G28" s="17">
        <f t="shared" si="5"/>
        <v>3.125E-2</v>
      </c>
    </row>
    <row r="29" spans="1:8" x14ac:dyDescent="0.3">
      <c r="A29" s="15">
        <v>0.109375</v>
      </c>
      <c r="B29" s="16">
        <v>0.109375</v>
      </c>
      <c r="C29" s="17">
        <f t="shared" si="4"/>
        <v>0</v>
      </c>
      <c r="E29" s="15">
        <v>0.828125</v>
      </c>
      <c r="F29" s="16">
        <v>0.875</v>
      </c>
      <c r="G29" s="17">
        <f t="shared" si="5"/>
        <v>-4.6875E-2</v>
      </c>
    </row>
    <row r="30" spans="1:8" x14ac:dyDescent="0.3">
      <c r="A30" s="15">
        <v>0.109375</v>
      </c>
      <c r="B30" s="16">
        <v>0.109375</v>
      </c>
      <c r="C30" s="17">
        <f t="shared" si="4"/>
        <v>0</v>
      </c>
      <c r="E30" s="15">
        <v>0.8203125</v>
      </c>
      <c r="F30" s="16">
        <v>0.8203125</v>
      </c>
      <c r="G30" s="17">
        <f t="shared" si="5"/>
        <v>0</v>
      </c>
    </row>
    <row r="31" spans="1:8" x14ac:dyDescent="0.3">
      <c r="A31" s="15">
        <v>0.1171875</v>
      </c>
      <c r="B31" s="16">
        <v>0.109375</v>
      </c>
      <c r="C31" s="17">
        <f t="shared" si="4"/>
        <v>7.8125E-3</v>
      </c>
      <c r="E31" s="15">
        <v>0.828125</v>
      </c>
      <c r="F31" s="16">
        <v>0.78906399999999999</v>
      </c>
      <c r="G31" s="17">
        <f t="shared" si="5"/>
        <v>3.9061000000000012E-2</v>
      </c>
    </row>
    <row r="32" spans="1:8" x14ac:dyDescent="0.3">
      <c r="A32" s="15">
        <v>0.109375</v>
      </c>
      <c r="B32" s="16">
        <v>0.1015625</v>
      </c>
      <c r="C32" s="17">
        <f t="shared" si="4"/>
        <v>7.8125E-3</v>
      </c>
      <c r="E32" s="15">
        <v>0.7890625</v>
      </c>
      <c r="F32" s="16">
        <v>0.8125</v>
      </c>
      <c r="G32" s="17">
        <f t="shared" si="5"/>
        <v>-2.34375E-2</v>
      </c>
    </row>
    <row r="33" spans="1:7" ht="15" thickBot="1" x14ac:dyDescent="0.35">
      <c r="A33" s="18">
        <v>9.375E-2</v>
      </c>
      <c r="B33" s="19">
        <v>0.1015625</v>
      </c>
      <c r="C33" s="20">
        <f t="shared" si="4"/>
        <v>-7.8125E-3</v>
      </c>
      <c r="E33" s="18">
        <v>0.8125</v>
      </c>
      <c r="F33" s="19">
        <v>0.828125</v>
      </c>
      <c r="G33" s="20">
        <f t="shared" si="5"/>
        <v>-1.5625E-2</v>
      </c>
    </row>
    <row r="34" spans="1:7" ht="15" thickBot="1" x14ac:dyDescent="0.35">
      <c r="A34" s="29" t="s">
        <v>536</v>
      </c>
      <c r="B34" s="30"/>
      <c r="C34" s="27">
        <f>AVERAGE(C24:C33)</f>
        <v>-2.3457500000000006E-3</v>
      </c>
      <c r="E34" s="29" t="s">
        <v>535</v>
      </c>
      <c r="F34" s="30"/>
      <c r="G34" s="28">
        <f>AVERAGE(G24:G33)</f>
        <v>1.6406600000000004E-2</v>
      </c>
    </row>
  </sheetData>
  <mergeCells count="8">
    <mergeCell ref="A22:C22"/>
    <mergeCell ref="E22:G22"/>
    <mergeCell ref="E34:F34"/>
    <mergeCell ref="A34:B34"/>
    <mergeCell ref="A1:D1"/>
    <mergeCell ref="E1:H1"/>
    <mergeCell ref="A14:D14"/>
    <mergeCell ref="E14:H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Practice</vt:lpstr>
      <vt:lpstr>2017</vt:lpstr>
      <vt:lpstr>2018</vt:lpstr>
      <vt:lpstr>DQ Analysis</vt:lpstr>
      <vt:lpstr>All Stocks Analysis</vt:lpstr>
      <vt:lpstr>Run 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 Rock</dc:creator>
  <cp:lastModifiedBy>Ashley Rock</cp:lastModifiedBy>
  <dcterms:created xsi:type="dcterms:W3CDTF">2019-05-02T20:23:55Z</dcterms:created>
  <dcterms:modified xsi:type="dcterms:W3CDTF">2022-05-02T03:16:28Z</dcterms:modified>
</cp:coreProperties>
</file>